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f215d5e73ce799/Documents/"/>
    </mc:Choice>
  </mc:AlternateContent>
  <xr:revisionPtr revIDLastSave="47" documentId="8_{B982739A-F3F8-4CAB-9513-EA244A46AC85}" xr6:coauthVersionLast="47" xr6:coauthVersionMax="47" xr10:uidLastSave="{259FABA9-A10B-44F3-8073-3A9CEFDDFCE0}"/>
  <bookViews>
    <workbookView xWindow="20" yWindow="20" windowWidth="19180" windowHeight="10060" xr2:uid="{88E14947-ADBA-4E03-9B70-D813E1FE8ED1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D3" i="2"/>
  <c r="D4" i="2"/>
  <c r="D5" i="2"/>
  <c r="D6" i="2"/>
  <c r="D7" i="2"/>
  <c r="D8" i="2"/>
  <c r="D9" i="2"/>
  <c r="D10" i="2"/>
  <c r="D11" i="2"/>
  <c r="D2" i="2"/>
</calcChain>
</file>

<file path=xl/sharedStrings.xml><?xml version="1.0" encoding="utf-8"?>
<sst xmlns="http://schemas.openxmlformats.org/spreadsheetml/2006/main" count="51" uniqueCount="33">
  <si>
    <t>ticket_id</t>
  </si>
  <si>
    <t>created_at</t>
  </si>
  <si>
    <t>closed_at</t>
  </si>
  <si>
    <t>cms_id</t>
  </si>
  <si>
    <t>feedback_at</t>
  </si>
  <si>
    <t>feedback_rating</t>
  </si>
  <si>
    <t>ticket_created_at</t>
  </si>
  <si>
    <t>outlet_id</t>
  </si>
  <si>
    <t>isu-sjd-457</t>
  </si>
  <si>
    <t>OUT001</t>
  </si>
  <si>
    <t>vew-iuvd-12</t>
  </si>
  <si>
    <t>qer-fal-092</t>
  </si>
  <si>
    <t>OUT002</t>
  </si>
  <si>
    <t>abc-123</t>
  </si>
  <si>
    <t>xyz-111</t>
  </si>
  <si>
    <t>def-456</t>
  </si>
  <si>
    <t>lmn-222</t>
  </si>
  <si>
    <t>OUT003</t>
  </si>
  <si>
    <t>ghi-789</t>
  </si>
  <si>
    <t>rst-333</t>
  </si>
  <si>
    <t>jkl-321</t>
  </si>
  <si>
    <t>uvw-444</t>
  </si>
  <si>
    <t>mno-654</t>
  </si>
  <si>
    <t>pqr-555</t>
  </si>
  <si>
    <t>stu-987</t>
  </si>
  <si>
    <t>aaa-666</t>
  </si>
  <si>
    <t>vwx-111</t>
  </si>
  <si>
    <t>bbb-777</t>
  </si>
  <si>
    <t>yza-222</t>
  </si>
  <si>
    <t>ccc-888</t>
  </si>
  <si>
    <t>bcd-333</t>
  </si>
  <si>
    <t>Same_Day</t>
  </si>
  <si>
    <t>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</si>
</sst>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22" fontId="1" fillId="0" borderId="0" xfId="0" applyNumberFormat="1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3F7D-0A7A-4DFB-A669-C663F99C03C4}">
  <dimension ref="A1:G11"/>
  <sheetViews>
    <sheetView tabSelected="1" workbookViewId="0">
      <selection activeCell="G8" sqref="G8"/>
    </sheetView>
  </sheetViews>
  <sheetFormatPr defaultColWidth="15.089843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6" t="s">
        <v>31</v>
      </c>
      <c r="G1" s="6" t="s">
        <v>32</v>
      </c>
    </row>
    <row r="2" spans="1:7" x14ac:dyDescent="0.35">
      <c r="A2" s="2" t="s">
        <v>8</v>
      </c>
      <c r="B2" s="4">
        <v>44427.698414351849</v>
      </c>
      <c r="C2" s="4">
        <v>44430.523287037038</v>
      </c>
      <c r="D2" s="2" t="s">
        <v>9</v>
      </c>
      <c r="E2" s="2" t="s">
        <v>10</v>
      </c>
      <c r="F2" t="str">
        <f>IF(INT(B2)=INT(C2),"Yes","No")</f>
        <v>No</v>
      </c>
      <c r="G2" t="str">
        <f>IF(AND(INT(B2)=INT(C2),HOUR(B2)=HOUR(C2)),"Yes","No")</f>
        <v>No</v>
      </c>
    </row>
    <row r="3" spans="1:7" ht="29" x14ac:dyDescent="0.35">
      <c r="A3" s="2" t="s">
        <v>11</v>
      </c>
      <c r="B3" s="4">
        <v>44429.464837962965</v>
      </c>
      <c r="C3" s="4">
        <v>44429.717881944445</v>
      </c>
      <c r="D3" s="2" t="s">
        <v>12</v>
      </c>
      <c r="E3" s="2" t="s">
        <v>13</v>
      </c>
      <c r="F3" t="str">
        <f t="shared" ref="F3:F11" si="0">IF(INT(B3)=INT(C3),"Yes","No")</f>
        <v>Yes</v>
      </c>
      <c r="G3" t="str">
        <f t="shared" ref="G3:G11" si="1">IF(AND(INT(B3)=INT(C3),HOUR(B3)=HOUR(C3)),"Yes","No")</f>
        <v>No</v>
      </c>
    </row>
    <row r="4" spans="1:7" ht="29" x14ac:dyDescent="0.35">
      <c r="A4" s="2" t="s">
        <v>14</v>
      </c>
      <c r="B4" s="4">
        <v>44430.416666666664</v>
      </c>
      <c r="C4" s="4">
        <v>44430.4375</v>
      </c>
      <c r="D4" s="2" t="s">
        <v>9</v>
      </c>
      <c r="E4" s="2" t="s">
        <v>15</v>
      </c>
      <c r="F4" t="str">
        <f t="shared" si="0"/>
        <v>Yes</v>
      </c>
      <c r="G4" t="str">
        <f t="shared" si="1"/>
        <v>Yes</v>
      </c>
    </row>
    <row r="5" spans="1:7" ht="29" x14ac:dyDescent="0.35">
      <c r="A5" s="2" t="s">
        <v>16</v>
      </c>
      <c r="B5" s="4">
        <v>44431.385416666664</v>
      </c>
      <c r="C5" s="4">
        <v>44431.40625</v>
      </c>
      <c r="D5" s="2" t="s">
        <v>17</v>
      </c>
      <c r="E5" s="2" t="s">
        <v>18</v>
      </c>
      <c r="F5" t="str">
        <f t="shared" si="0"/>
        <v>Yes</v>
      </c>
      <c r="G5" t="str">
        <f t="shared" si="1"/>
        <v>Yes</v>
      </c>
    </row>
    <row r="6" spans="1:7" x14ac:dyDescent="0.35">
      <c r="A6" s="2" t="s">
        <v>19</v>
      </c>
      <c r="B6" s="4">
        <v>44432.597222222219</v>
      </c>
      <c r="C6" s="4">
        <v>44432.666666666664</v>
      </c>
      <c r="D6" s="2" t="s">
        <v>12</v>
      </c>
      <c r="E6" s="2" t="s">
        <v>20</v>
      </c>
      <c r="F6" t="str">
        <f t="shared" si="0"/>
        <v>Yes</v>
      </c>
      <c r="G6" t="str">
        <f t="shared" si="1"/>
        <v>No</v>
      </c>
    </row>
    <row r="7" spans="1:7" ht="29" x14ac:dyDescent="0.35">
      <c r="A7" s="2" t="s">
        <v>21</v>
      </c>
      <c r="B7" s="4">
        <v>44433.333333333336</v>
      </c>
      <c r="C7" s="4">
        <v>44434.416666666664</v>
      </c>
      <c r="D7" s="2" t="s">
        <v>9</v>
      </c>
      <c r="E7" s="2" t="s">
        <v>22</v>
      </c>
      <c r="F7" t="str">
        <f t="shared" si="0"/>
        <v>No</v>
      </c>
      <c r="G7" t="str">
        <f t="shared" si="1"/>
        <v>No</v>
      </c>
    </row>
    <row r="8" spans="1:7" ht="29" x14ac:dyDescent="0.35">
      <c r="A8" s="2" t="s">
        <v>23</v>
      </c>
      <c r="B8" s="4">
        <v>44434.541666666664</v>
      </c>
      <c r="C8" s="4">
        <v>44434.555555555555</v>
      </c>
      <c r="D8" s="2" t="s">
        <v>17</v>
      </c>
      <c r="E8" s="2" t="s">
        <v>24</v>
      </c>
      <c r="F8" t="str">
        <f t="shared" si="0"/>
        <v>Yes</v>
      </c>
      <c r="G8" t="str">
        <f t="shared" si="1"/>
        <v>Yes</v>
      </c>
    </row>
    <row r="9" spans="1:7" ht="29" x14ac:dyDescent="0.35">
      <c r="A9" s="2" t="s">
        <v>25</v>
      </c>
      <c r="B9" s="4">
        <v>44435.631944444445</v>
      </c>
      <c r="C9" s="4">
        <v>44435.659722222219</v>
      </c>
      <c r="D9" s="2" t="s">
        <v>12</v>
      </c>
      <c r="E9" s="2" t="s">
        <v>26</v>
      </c>
      <c r="F9" t="str">
        <f t="shared" si="0"/>
        <v>Yes</v>
      </c>
      <c r="G9" t="str">
        <f t="shared" si="1"/>
        <v>Yes</v>
      </c>
    </row>
    <row r="10" spans="1:7" ht="29" x14ac:dyDescent="0.35">
      <c r="A10" s="2" t="s">
        <v>27</v>
      </c>
      <c r="B10" s="4">
        <v>44436.75</v>
      </c>
      <c r="C10" s="4">
        <v>44437.375</v>
      </c>
      <c r="D10" s="2" t="s">
        <v>9</v>
      </c>
      <c r="E10" s="2" t="s">
        <v>28</v>
      </c>
      <c r="F10" t="str">
        <f t="shared" si="0"/>
        <v>No</v>
      </c>
      <c r="G10" t="str">
        <f t="shared" si="1"/>
        <v>No</v>
      </c>
    </row>
    <row r="11" spans="1:7" ht="29" x14ac:dyDescent="0.35">
      <c r="A11" s="2" t="s">
        <v>29</v>
      </c>
      <c r="B11" s="4">
        <v>44437.833333333336</v>
      </c>
      <c r="C11" s="4">
        <v>44437.864583333336</v>
      </c>
      <c r="D11" s="2" t="s">
        <v>17</v>
      </c>
      <c r="E11" s="2" t="s">
        <v>30</v>
      </c>
      <c r="F11" t="str">
        <f t="shared" si="0"/>
        <v>Yes</v>
      </c>
      <c r="G11" t="str">
        <f t="shared" si="1"/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9815-C4D3-4AAA-92C3-9E2786CCACB2}">
  <dimension ref="A1:D11"/>
  <sheetViews>
    <sheetView workbookViewId="0">
      <selection activeCell="D2" sqref="D2"/>
    </sheetView>
  </sheetViews>
  <sheetFormatPr defaultRowHeight="14.5" x14ac:dyDescent="0.35"/>
  <cols>
    <col min="1" max="1" width="18.7265625" customWidth="1"/>
    <col min="2" max="2" width="15.08984375" bestFit="1" customWidth="1"/>
    <col min="3" max="3" width="13.453125" bestFit="1" customWidth="1"/>
    <col min="4" max="4" width="15.08984375" style="3" bestFit="1" customWidth="1"/>
  </cols>
  <sheetData>
    <row r="1" spans="1:4" ht="29" x14ac:dyDescent="0.35">
      <c r="A1" s="1" t="s">
        <v>3</v>
      </c>
      <c r="B1" s="1" t="s">
        <v>4</v>
      </c>
      <c r="C1" s="1" t="s">
        <v>5</v>
      </c>
      <c r="D1" s="5" t="s">
        <v>6</v>
      </c>
    </row>
    <row r="2" spans="1:4" x14ac:dyDescent="0.35">
      <c r="A2" s="2" t="s">
        <v>10</v>
      </c>
      <c r="B2" s="4">
        <v>44429.560277777775</v>
      </c>
      <c r="C2" s="2">
        <v>3</v>
      </c>
      <c r="D2" s="4">
        <f>INDEX(ticket!B:B,MATCH(A2,ticket!E:E,0))</f>
        <v>44427.698414351849</v>
      </c>
    </row>
    <row r="3" spans="1:4" x14ac:dyDescent="0.35">
      <c r="A3" s="2" t="s">
        <v>13</v>
      </c>
      <c r="B3" s="4">
        <v>44430.583333333336</v>
      </c>
      <c r="C3" s="2">
        <v>4</v>
      </c>
      <c r="D3" s="4">
        <f>INDEX(ticket!B:B,MATCH(A3,ticket!E:E,0))</f>
        <v>44429.464837962965</v>
      </c>
    </row>
    <row r="4" spans="1:4" x14ac:dyDescent="0.35">
      <c r="A4" s="2" t="s">
        <v>15</v>
      </c>
      <c r="B4" s="4">
        <v>44431.625</v>
      </c>
      <c r="C4" s="2">
        <v>5</v>
      </c>
      <c r="D4" s="4">
        <f>INDEX(ticket!B:B,MATCH(A4,ticket!E:E,0))</f>
        <v>44430.416666666664</v>
      </c>
    </row>
    <row r="5" spans="1:4" x14ac:dyDescent="0.35">
      <c r="A5" s="2" t="s">
        <v>18</v>
      </c>
      <c r="B5" s="4">
        <v>44432.666666666664</v>
      </c>
      <c r="C5" s="2">
        <v>2</v>
      </c>
      <c r="D5" s="4">
        <f>INDEX(ticket!B:B,MATCH(A5,ticket!E:E,0))</f>
        <v>44431.385416666664</v>
      </c>
    </row>
    <row r="6" spans="1:4" x14ac:dyDescent="0.35">
      <c r="A6" s="2" t="s">
        <v>20</v>
      </c>
      <c r="B6" s="4">
        <v>44433.708333333336</v>
      </c>
      <c r="C6" s="2">
        <v>4</v>
      </c>
      <c r="D6" s="4">
        <f>INDEX(ticket!B:B,MATCH(A6,ticket!E:E,0))</f>
        <v>44432.597222222219</v>
      </c>
    </row>
    <row r="7" spans="1:4" x14ac:dyDescent="0.35">
      <c r="A7" s="2" t="s">
        <v>22</v>
      </c>
      <c r="B7" s="4">
        <v>44434.75</v>
      </c>
      <c r="C7" s="2">
        <v>5</v>
      </c>
      <c r="D7" s="4">
        <f>INDEX(ticket!B:B,MATCH(A7,ticket!E:E,0))</f>
        <v>44433.333333333336</v>
      </c>
    </row>
    <row r="8" spans="1:4" x14ac:dyDescent="0.35">
      <c r="A8" s="2" t="s">
        <v>24</v>
      </c>
      <c r="B8" s="4">
        <v>44435.791666666664</v>
      </c>
      <c r="C8" s="2">
        <v>3</v>
      </c>
      <c r="D8" s="4">
        <f>INDEX(ticket!B:B,MATCH(A8,ticket!E:E,0))</f>
        <v>44434.541666666664</v>
      </c>
    </row>
    <row r="9" spans="1:4" x14ac:dyDescent="0.35">
      <c r="A9" s="2" t="s">
        <v>26</v>
      </c>
      <c r="B9" s="4">
        <v>44436.833333333336</v>
      </c>
      <c r="C9" s="2">
        <v>4</v>
      </c>
      <c r="D9" s="4">
        <f>INDEX(ticket!B:B,MATCH(A9,ticket!E:E,0))</f>
        <v>44435.631944444445</v>
      </c>
    </row>
    <row r="10" spans="1:4" x14ac:dyDescent="0.35">
      <c r="A10" s="2" t="s">
        <v>28</v>
      </c>
      <c r="B10" s="4">
        <v>44437.875</v>
      </c>
      <c r="C10" s="2">
        <v>5</v>
      </c>
      <c r="D10" s="4">
        <f>INDEX(ticket!B:B,MATCH(A10,ticket!E:E,0))</f>
        <v>44436.75</v>
      </c>
    </row>
    <row r="11" spans="1:4" x14ac:dyDescent="0.35">
      <c r="A11" s="2" t="s">
        <v>30</v>
      </c>
      <c r="B11" s="4">
        <v>44438.916666666664</v>
      </c>
      <c r="C11" s="2">
        <v>2</v>
      </c>
      <c r="D11" s="4">
        <f>INDEX(ticket!B:B,MATCH(A11,ticket!E:E,0))</f>
        <v>44437.833333333336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Harshini Putsala</dc:creator>
  <cp:lastModifiedBy>SriHarshini Putsala</cp:lastModifiedBy>
  <dcterms:created xsi:type="dcterms:W3CDTF">2026-04-08T13:25:46Z</dcterms:created>
  <dcterms:modified xsi:type="dcterms:W3CDTF">2026-04-08T14:00:02Z</dcterms:modified>
</cp:coreProperties>
</file>